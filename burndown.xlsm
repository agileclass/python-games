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vanderson.botelho\lab\python-games\"/>
    </mc:Choice>
  </mc:AlternateContent>
  <bookViews>
    <workbookView xWindow="6345" yWindow="780" windowWidth="22875" windowHeight="18915"/>
  </bookViews>
  <sheets>
    <sheet name="Sprint01" sheetId="1" r:id="rId1"/>
    <sheet name="Sprint02" sheetId="4" r:id="rId2"/>
    <sheet name="Burndown impressão color" sheetId="2" r:id="rId3"/>
    <sheet name="Burndown impressão pb" sheetId="3" r:id="rId4"/>
  </sheets>
  <definedNames>
    <definedName name="Restante" localSheetId="1">OFFSET(Sprint02!$B$12,0,0,1,COUNT(Sprint02!$B$12:$G$12))</definedName>
    <definedName name="Restante">OFFSET(Sprint01!$B$12,0,0,1,COUNT(Sprint01!$B$12:$F$12))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4" l="1"/>
  <c r="E13" i="4"/>
  <c r="B13" i="1"/>
  <c r="C13" i="1"/>
  <c r="D13" i="1"/>
  <c r="E13" i="1"/>
  <c r="F13" i="1"/>
  <c r="E12" i="4"/>
  <c r="F12" i="4"/>
  <c r="G12" i="4"/>
  <c r="D15" i="4"/>
  <c r="B13" i="4"/>
  <c r="C13" i="4"/>
  <c r="D13" i="4"/>
  <c r="F13" i="4"/>
  <c r="G13" i="4"/>
  <c r="B12" i="4"/>
  <c r="C12" i="4"/>
  <c r="B12" i="1"/>
  <c r="C12" i="1"/>
  <c r="D12" i="1"/>
  <c r="E12" i="1"/>
  <c r="F12" i="1"/>
  <c r="D15" i="1"/>
</calcChain>
</file>

<file path=xl/sharedStrings.xml><?xml version="1.0" encoding="utf-8"?>
<sst xmlns="http://schemas.openxmlformats.org/spreadsheetml/2006/main" count="27" uniqueCount="14">
  <si>
    <t>Dia 1</t>
  </si>
  <si>
    <t>Dia 2</t>
  </si>
  <si>
    <t>Dia 3</t>
  </si>
  <si>
    <t>Dia 4</t>
  </si>
  <si>
    <t>Dia 5</t>
  </si>
  <si>
    <t>Restante</t>
  </si>
  <si>
    <t>Estimado</t>
  </si>
  <si>
    <t>Labirinto</t>
  </si>
  <si>
    <t>Classificação de Animais</t>
  </si>
  <si>
    <t>Jogo da Taboada</t>
  </si>
  <si>
    <t>Jogo Tradutor</t>
  </si>
  <si>
    <t>Geografia - Capitais</t>
  </si>
  <si>
    <t>Configura Integração Contínua</t>
  </si>
  <si>
    <t>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</si>
</sst>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Sprint01!$A$12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39</c:v>
                </c:pt>
                <c:pt idx="1">
                  <c:v>21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Sprint01!$A$13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Sprint01!$B$13:$F$13</c:f>
              <c:numCache>
                <c:formatCode>General</c:formatCode>
                <c:ptCount val="5"/>
                <c:pt idx="0">
                  <c:v>39</c:v>
                </c:pt>
                <c:pt idx="1">
                  <c:v>29.25</c:v>
                </c:pt>
                <c:pt idx="2">
                  <c:v>19.5</c:v>
                </c:pt>
                <c:pt idx="3">
                  <c:v>9.75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Sprint02!$A$12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Sprint02!$B$1:$G$1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Sprint02!$B$12:$D$12</c:f>
              <c:numCache>
                <c:formatCode>General</c:formatCode>
                <c:ptCount val="3"/>
                <c:pt idx="0">
                  <c:v>39</c:v>
                </c:pt>
                <c:pt idx="1">
                  <c:v>21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C-46AD-81FA-988A1111F292}"/>
            </c:ext>
          </c:extLst>
        </c:ser>
        <c:ser>
          <c:idx val="1"/>
          <c:order val="1"/>
          <c:tx>
            <c:strRef>
              <c:f>Sprint02!$A$13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Sprint02!$B$1:$G$1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Sprint02!$B$13:$G$13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2C-46AD-81FA-988A1111F29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Sprint01!$A$12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39</c:v>
                </c:pt>
                <c:pt idx="1">
                  <c:v>21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Sprint01!$A$13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Sprint01!$B$13:$F$13</c:f>
              <c:numCache>
                <c:formatCode>General</c:formatCode>
                <c:ptCount val="5"/>
                <c:pt idx="0">
                  <c:v>39</c:v>
                </c:pt>
                <c:pt idx="1">
                  <c:v>29.25</c:v>
                </c:pt>
                <c:pt idx="2">
                  <c:v>19.5</c:v>
                </c:pt>
                <c:pt idx="3">
                  <c:v>9.75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13696856"/>
        <c:axId val="-2095410472"/>
      </c:lineChart>
      <c:catAx>
        <c:axId val="-21136968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5410472"/>
        <c:crosses val="autoZero"/>
        <c:auto val="1"/>
        <c:lblAlgn val="ctr"/>
        <c:lblOffset val="100"/>
        <c:noMultiLvlLbl val="0"/>
      </c:catAx>
      <c:valAx>
        <c:axId val="-2095410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1369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Sprint01!$A$12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39</c:v>
                </c:pt>
                <c:pt idx="1">
                  <c:v>21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Sprint01!$A$13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Sprint01!$B$1:$F$1</c:f>
              <c:strCache>
                <c:ptCount val="5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Sprint01!$B$13:$F$13</c:f>
              <c:numCache>
                <c:formatCode>General</c:formatCode>
                <c:ptCount val="5"/>
                <c:pt idx="0">
                  <c:v>39</c:v>
                </c:pt>
                <c:pt idx="1">
                  <c:v>29.25</c:v>
                </c:pt>
                <c:pt idx="2">
                  <c:v>19.5</c:v>
                </c:pt>
                <c:pt idx="3">
                  <c:v>9.75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06832184"/>
        <c:axId val="-2092393240"/>
      </c:lineChart>
      <c:catAx>
        <c:axId val="-2106832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2393240"/>
        <c:crosses val="autoZero"/>
        <c:auto val="1"/>
        <c:lblAlgn val="ctr"/>
        <c:lblOffset val="100"/>
        <c:noMultiLvlLbl val="0"/>
      </c:catAx>
      <c:valAx>
        <c:axId val="-2092393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68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7</xdr:col>
      <xdr:colOff>469900</xdr:colOff>
      <xdr:row>39</xdr:row>
      <xdr:rowOff>114299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8</xdr:col>
      <xdr:colOff>469900</xdr:colOff>
      <xdr:row>39</xdr:row>
      <xdr:rowOff>114299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showGridLines="0" tabSelected="1" topLeftCell="A13" zoomScale="130" zoomScaleNormal="130" zoomScalePageLayoutView="125" workbookViewId="0">
      <selection activeCell="G7" sqref="G7"/>
    </sheetView>
  </sheetViews>
  <sheetFormatPr defaultColWidth="8.85546875" defaultRowHeight="15" x14ac:dyDescent="0.25"/>
  <cols>
    <col min="1" max="1" width="26.140625" customWidth="1"/>
    <col min="2" max="2" width="13.42578125" bestFit="1" customWidth="1"/>
  </cols>
  <sheetData>
    <row r="1" spans="1:6" x14ac:dyDescent="0.25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</row>
    <row r="2" spans="1:6" x14ac:dyDescent="0.25">
      <c r="A2" s="5" t="s">
        <v>7</v>
      </c>
      <c r="B2" s="6">
        <v>13</v>
      </c>
      <c r="C2" s="6">
        <v>1</v>
      </c>
      <c r="D2" s="6">
        <v>8</v>
      </c>
      <c r="E2" s="6">
        <v>2</v>
      </c>
      <c r="F2" s="6">
        <v>2</v>
      </c>
    </row>
    <row r="3" spans="1:6" x14ac:dyDescent="0.25">
      <c r="A3" s="7" t="s">
        <v>8</v>
      </c>
      <c r="B3" s="1">
        <v>5</v>
      </c>
      <c r="C3" s="1">
        <v>1</v>
      </c>
      <c r="D3" s="1">
        <v>2</v>
      </c>
      <c r="E3" s="1">
        <v>1</v>
      </c>
      <c r="F3" s="1">
        <v>1</v>
      </c>
    </row>
    <row r="4" spans="1:6" x14ac:dyDescent="0.25">
      <c r="A4" s="7" t="s">
        <v>9</v>
      </c>
      <c r="B4" s="1">
        <v>3</v>
      </c>
      <c r="C4" s="1">
        <v>3</v>
      </c>
      <c r="D4" s="1">
        <v>0</v>
      </c>
      <c r="E4" s="1">
        <v>0</v>
      </c>
      <c r="F4" s="1">
        <v>0</v>
      </c>
    </row>
    <row r="5" spans="1:6" x14ac:dyDescent="0.25">
      <c r="A5" s="7" t="s">
        <v>10</v>
      </c>
      <c r="B5" s="1">
        <v>5</v>
      </c>
      <c r="C5" s="1">
        <v>5</v>
      </c>
      <c r="D5" s="1">
        <v>0</v>
      </c>
      <c r="E5" s="1">
        <v>0</v>
      </c>
      <c r="F5" s="1">
        <v>0</v>
      </c>
    </row>
    <row r="6" spans="1:6" x14ac:dyDescent="0.25">
      <c r="A6" s="7" t="s">
        <v>11</v>
      </c>
      <c r="B6" s="1">
        <v>5</v>
      </c>
      <c r="C6" s="1">
        <v>0</v>
      </c>
      <c r="D6" s="1">
        <v>2</v>
      </c>
      <c r="E6" s="1">
        <v>2</v>
      </c>
      <c r="F6" s="1">
        <v>1</v>
      </c>
    </row>
    <row r="7" spans="1:6" x14ac:dyDescent="0.25">
      <c r="A7" s="7" t="s">
        <v>12</v>
      </c>
      <c r="B7" s="1">
        <v>8</v>
      </c>
      <c r="C7" s="1">
        <v>8</v>
      </c>
      <c r="D7" s="1">
        <v>0</v>
      </c>
      <c r="E7" s="1">
        <v>0</v>
      </c>
      <c r="F7" s="1">
        <v>0</v>
      </c>
    </row>
    <row r="8" spans="1:6" x14ac:dyDescent="0.25">
      <c r="A8" s="7"/>
      <c r="B8" s="1"/>
      <c r="C8" s="1"/>
      <c r="D8" s="1"/>
      <c r="E8" s="1"/>
      <c r="F8" s="1"/>
    </row>
    <row r="9" spans="1:6" x14ac:dyDescent="0.25">
      <c r="A9" s="7"/>
      <c r="B9" s="1"/>
      <c r="C9" s="1"/>
      <c r="D9" s="1"/>
      <c r="E9" s="1"/>
      <c r="F9" s="1"/>
    </row>
    <row r="10" spans="1:6" x14ac:dyDescent="0.25">
      <c r="A10" s="7"/>
      <c r="B10" s="1"/>
      <c r="C10" s="1"/>
      <c r="D10" s="1"/>
      <c r="E10" s="1"/>
      <c r="F10" s="1"/>
    </row>
    <row r="11" spans="1:6" x14ac:dyDescent="0.25">
      <c r="A11" s="8"/>
      <c r="B11" s="2"/>
      <c r="C11" s="2"/>
      <c r="D11" s="2"/>
      <c r="E11" s="2"/>
      <c r="F11" s="2"/>
    </row>
    <row r="12" spans="1:6" x14ac:dyDescent="0.25">
      <c r="A12" s="3" t="s">
        <v>5</v>
      </c>
      <c r="B12" s="4">
        <f>SUM($B$2:$B$11)</f>
        <v>39</v>
      </c>
      <c r="C12" s="4">
        <f t="shared" ref="C12:F12" si="0">IF(SUM(C2:C11)&gt;0,B12-SUM(C2:C11),"")</f>
        <v>21</v>
      </c>
      <c r="D12" s="4">
        <f t="shared" si="0"/>
        <v>9</v>
      </c>
      <c r="E12" s="4">
        <f t="shared" si="0"/>
        <v>4</v>
      </c>
      <c r="F12" s="4">
        <f t="shared" si="0"/>
        <v>0</v>
      </c>
    </row>
    <row r="13" spans="1:6" x14ac:dyDescent="0.25">
      <c r="A13" s="3" t="s">
        <v>6</v>
      </c>
      <c r="B13" s="4">
        <f>SUM($B$2:$B$11)</f>
        <v>39</v>
      </c>
      <c r="C13" s="4">
        <f>B13-($B$13/COUNTA($C$1:$F$1))</f>
        <v>29.25</v>
      </c>
      <c r="D13" s="4">
        <f t="shared" ref="D13:F13" si="1">C13-($B$13/COUNTA($C$1:$F$1))</f>
        <v>19.5</v>
      </c>
      <c r="E13" s="4">
        <f t="shared" si="1"/>
        <v>9.75</v>
      </c>
      <c r="F13" s="4">
        <f t="shared" si="1"/>
        <v>0</v>
      </c>
    </row>
    <row r="15" spans="1:6" x14ac:dyDescent="0.25">
      <c r="D15">
        <f ca="1">OFFSET($C$12:C12,0,COUNTA(D12:F12),1,1)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showGridLines="0" zoomScale="130" zoomScaleNormal="130" zoomScalePageLayoutView="125" workbookViewId="0">
      <selection activeCell="D3" sqref="D3"/>
    </sheetView>
  </sheetViews>
  <sheetFormatPr defaultColWidth="8.85546875" defaultRowHeight="15" x14ac:dyDescent="0.25"/>
  <cols>
    <col min="1" max="1" width="26.140625" customWidth="1"/>
    <col min="2" max="2" width="13.42578125" bestFit="1" customWidth="1"/>
  </cols>
  <sheetData>
    <row r="1" spans="1:7" x14ac:dyDescent="0.25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</row>
    <row r="2" spans="1:7" x14ac:dyDescent="0.25">
      <c r="A2" s="5" t="s">
        <v>7</v>
      </c>
      <c r="B2" s="6">
        <v>13</v>
      </c>
      <c r="C2" s="6">
        <v>1</v>
      </c>
      <c r="D2" s="6">
        <v>8</v>
      </c>
      <c r="E2" s="6"/>
      <c r="F2" s="6"/>
      <c r="G2" s="6"/>
    </row>
    <row r="3" spans="1:7" x14ac:dyDescent="0.25">
      <c r="A3" s="7" t="s">
        <v>8</v>
      </c>
      <c r="B3" s="1">
        <v>5</v>
      </c>
      <c r="C3" s="1">
        <v>1</v>
      </c>
      <c r="D3" s="1"/>
      <c r="E3" s="1"/>
      <c r="F3" s="1"/>
      <c r="G3" s="1"/>
    </row>
    <row r="4" spans="1:7" x14ac:dyDescent="0.25">
      <c r="A4" s="7" t="s">
        <v>9</v>
      </c>
      <c r="B4" s="1">
        <v>3</v>
      </c>
      <c r="C4" s="1">
        <v>3</v>
      </c>
      <c r="D4" s="1"/>
      <c r="E4" s="1"/>
      <c r="F4" s="1"/>
      <c r="G4" s="1"/>
    </row>
    <row r="5" spans="1:7" x14ac:dyDescent="0.25">
      <c r="A5" s="7" t="s">
        <v>10</v>
      </c>
      <c r="B5" s="1">
        <v>5</v>
      </c>
      <c r="C5" s="1">
        <v>5</v>
      </c>
      <c r="D5" s="1"/>
      <c r="E5" s="1"/>
      <c r="F5" s="1"/>
      <c r="G5" s="1"/>
    </row>
    <row r="6" spans="1:7" x14ac:dyDescent="0.25">
      <c r="A6" s="7" t="s">
        <v>11</v>
      </c>
      <c r="B6" s="1">
        <v>5</v>
      </c>
      <c r="C6" s="1">
        <v>0</v>
      </c>
      <c r="D6" s="1"/>
      <c r="E6" s="1"/>
      <c r="F6" s="1"/>
      <c r="G6" s="1"/>
    </row>
    <row r="7" spans="1:7" x14ac:dyDescent="0.25">
      <c r="A7" s="7" t="s">
        <v>12</v>
      </c>
      <c r="B7" s="1">
        <v>8</v>
      </c>
      <c r="C7" s="1">
        <v>8</v>
      </c>
      <c r="D7" s="1"/>
      <c r="E7" s="1"/>
      <c r="F7" s="1"/>
      <c r="G7" s="1"/>
    </row>
    <row r="8" spans="1:7" x14ac:dyDescent="0.25">
      <c r="A8" s="7"/>
      <c r="B8" s="1"/>
      <c r="C8" s="1"/>
      <c r="D8" s="1"/>
      <c r="E8" s="1"/>
      <c r="F8" s="1"/>
      <c r="G8" s="1"/>
    </row>
    <row r="9" spans="1:7" x14ac:dyDescent="0.25">
      <c r="A9" s="7"/>
      <c r="B9" s="1"/>
      <c r="C9" s="1"/>
      <c r="D9" s="1"/>
      <c r="E9" s="1"/>
      <c r="F9" s="1"/>
      <c r="G9" s="1"/>
    </row>
    <row r="10" spans="1:7" x14ac:dyDescent="0.25">
      <c r="A10" s="7"/>
      <c r="B10" s="1"/>
      <c r="C10" s="1"/>
      <c r="D10" s="1"/>
      <c r="E10" s="1"/>
      <c r="F10" s="1"/>
      <c r="G10" s="1"/>
    </row>
    <row r="11" spans="1:7" x14ac:dyDescent="0.25">
      <c r="A11" s="8"/>
      <c r="B11" s="2"/>
      <c r="C11" s="2"/>
      <c r="D11" s="2"/>
      <c r="E11" s="2"/>
      <c r="F11" s="2"/>
      <c r="G11" s="2"/>
    </row>
    <row r="12" spans="1:7" x14ac:dyDescent="0.25">
      <c r="A12" s="3" t="s">
        <v>5</v>
      </c>
      <c r="B12" s="4">
        <f>SUM($B$2:$B$11)</f>
        <v>39</v>
      </c>
      <c r="C12" s="4">
        <f t="shared" ref="C12:G12" si="0">IF(SUM(C2:C11)&gt;0,B12-SUM(C2:C11),"")</f>
        <v>21</v>
      </c>
      <c r="D12" s="4">
        <f>IF(SUM(D2:D11)&gt;0,C12-SUM(D2:D11),"")</f>
        <v>13</v>
      </c>
      <c r="E12" s="4" t="str">
        <f t="shared" si="0"/>
        <v/>
      </c>
      <c r="F12" s="4" t="str">
        <f t="shared" si="0"/>
        <v/>
      </c>
      <c r="G12" s="4" t="str">
        <f t="shared" si="0"/>
        <v/>
      </c>
    </row>
    <row r="13" spans="1:7" x14ac:dyDescent="0.25">
      <c r="A13" s="3" t="s">
        <v>6</v>
      </c>
      <c r="B13" s="4">
        <f>SUM($B$2:$B$11)</f>
        <v>39</v>
      </c>
      <c r="C13" s="4">
        <f>B13-($B$13/COUNTA($C$1:$G$1))</f>
        <v>31.2</v>
      </c>
      <c r="D13" s="4">
        <f>C13-($B$13/COUNTA($C$1:$G$1))</f>
        <v>23.4</v>
      </c>
      <c r="E13" s="4">
        <f>D13-($B$13/COUNTA($C$1:$G$1))</f>
        <v>15.599999999999998</v>
      </c>
      <c r="F13" s="4">
        <f>E13-($B$13/COUNTA($C$1:$G$1))</f>
        <v>7.799999999999998</v>
      </c>
      <c r="G13" s="4">
        <f t="shared" ref="G13" si="1">F13-($B$13/COUNTA($C$1:$G$1))</f>
        <v>0</v>
      </c>
    </row>
    <row r="15" spans="1:7" x14ac:dyDescent="0.25">
      <c r="D15" t="str">
        <f ca="1">OFFSET($C$12:C12,0,COUNTA(D12:G12),1,1)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Sprint01</vt:lpstr>
      <vt:lpstr>Sprint02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NIAA</cp:lastModifiedBy>
  <cp:lastPrinted>2016-06-19T15:56:58Z</cp:lastPrinted>
  <dcterms:created xsi:type="dcterms:W3CDTF">2016-06-19T15:11:06Z</dcterms:created>
  <dcterms:modified xsi:type="dcterms:W3CDTF">2018-03-24T19:55:20Z</dcterms:modified>
</cp:coreProperties>
</file>